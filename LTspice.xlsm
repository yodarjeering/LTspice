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my_program\kyo-pro\40_LTspice\"/>
    </mc:Choice>
  </mc:AlternateContent>
  <xr:revisionPtr revIDLastSave="0" documentId="13_ncr:1_{210B67F1-ED96-4514-9626-BB9FFE4AC4B7}" xr6:coauthVersionLast="47" xr6:coauthVersionMax="47" xr10:uidLastSave="{00000000-0000-0000-0000-000000000000}"/>
  <bookViews>
    <workbookView xWindow="-103" yWindow="-103" windowWidth="16663" windowHeight="8743" activeTab="1" xr2:uid="{00000000-000D-0000-FFFF-FFFF00000000}"/>
  </bookViews>
  <sheets>
    <sheet name="備忘録" sheetId="1" r:id="rId1"/>
    <sheet name="pycode" sheetId="5" r:id="rId2"/>
    <sheet name="main" sheetId="6" r:id="rId3"/>
    <sheet name="netファイル成形" sheetId="3" r:id="rId4"/>
    <sheet name="テンプレ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4" l="1"/>
  <c r="F12" i="4" s="1"/>
  <c r="F11" i="1"/>
  <c r="F1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依田倫太朗</author>
  </authors>
  <commentList>
    <comment ref="H18" authorId="0" shapeId="0" xr:uid="{3F49F005-04F9-4303-BBF0-BB2E8CAF7963}">
      <text>
        <r>
          <rPr>
            <b/>
            <sz val="9"/>
            <color indexed="81"/>
            <rFont val="MS P ゴシック"/>
            <family val="3"/>
            <charset val="128"/>
          </rPr>
          <t>依田倫太朗:</t>
        </r>
        <r>
          <rPr>
            <sz val="9"/>
            <color indexed="81"/>
            <rFont val="MS P ゴシック"/>
            <family val="3"/>
            <charset val="128"/>
          </rPr>
          <t xml:space="preserve">
ここのKとかCとかピン名が数字でないものは注意！</t>
        </r>
      </text>
    </comment>
  </commentList>
</comments>
</file>

<file path=xl/sharedStrings.xml><?xml version="1.0" encoding="utf-8"?>
<sst xmlns="http://schemas.openxmlformats.org/spreadsheetml/2006/main" count="125" uniqueCount="108">
  <si>
    <t>日付</t>
    <rPh sb="0" eb="2">
      <t>ヒヅケ</t>
    </rPh>
    <phoneticPr fontId="1"/>
  </si>
  <si>
    <t>内容</t>
    <rPh sb="0" eb="2">
      <t>ナイヨウ</t>
    </rPh>
    <phoneticPr fontId="1"/>
  </si>
  <si>
    <t>タイトル</t>
    <phoneticPr fontId="1"/>
  </si>
  <si>
    <t>Ltspiceのサンプルファイル作成</t>
    <rPh sb="16" eb="18">
      <t>サクセイ</t>
    </rPh>
    <phoneticPr fontId="1"/>
  </si>
  <si>
    <t>f=1/2pisqrt(LC)</t>
    <phoneticPr fontId="1"/>
  </si>
  <si>
    <t>L</t>
    <phoneticPr fontId="1"/>
  </si>
  <si>
    <t>C</t>
    <phoneticPr fontId="1"/>
  </si>
  <si>
    <t>F</t>
    <phoneticPr fontId="1"/>
  </si>
  <si>
    <t>H</t>
    <phoneticPr fontId="1"/>
  </si>
  <si>
    <t>uF</t>
    <phoneticPr fontId="1"/>
  </si>
  <si>
    <t>必要ライブラリ</t>
    <rPh sb="0" eb="2">
      <t>ヒツヨウ</t>
    </rPh>
    <phoneticPr fontId="1"/>
  </si>
  <si>
    <t>Python3</t>
    <phoneticPr fontId="1"/>
  </si>
  <si>
    <t>PyLTSpice</t>
    <phoneticPr fontId="1"/>
  </si>
  <si>
    <t>$ノード名;部品名^ピン番号,部品名^ピン番号,...</t>
  </si>
  <si>
    <t>前</t>
    <rPh sb="0" eb="1">
      <t>マエ</t>
    </rPh>
    <phoneticPr fontId="1"/>
  </si>
  <si>
    <t>後</t>
    <rPh sb="0" eb="1">
      <t>アト</t>
    </rPh>
    <phoneticPr fontId="1"/>
  </si>
  <si>
    <t>部品名 ノード1 ノード2 [パラメータ]</t>
  </si>
  <si>
    <t>例</t>
    <rPh sb="0" eb="1">
      <t>レイ</t>
    </rPh>
    <phoneticPr fontId="1"/>
  </si>
  <si>
    <t>R1 N001 N002 1k</t>
  </si>
  <si>
    <t>C1 N002 0 10u</t>
  </si>
  <si>
    <t>$1701;IC43^2,R262^1,</t>
    <phoneticPr fontId="1"/>
  </si>
  <si>
    <t>$VDD;R24^1,TR^C,REG^K</t>
    <phoneticPr fontId="1"/>
  </si>
  <si>
    <t>だったか</t>
    <phoneticPr fontId="1"/>
  </si>
  <si>
    <t>VDD;R21^1….</t>
    <phoneticPr fontId="1"/>
  </si>
  <si>
    <t xml:space="preserve"> </t>
    <phoneticPr fontId="1"/>
  </si>
  <si>
    <t>$GND;…</t>
    <phoneticPr fontId="1"/>
  </si>
  <si>
    <t>または</t>
    <phoneticPr fontId="1"/>
  </si>
  <si>
    <t>GND</t>
    <phoneticPr fontId="1"/>
  </si>
  <si>
    <t>フロー</t>
    <phoneticPr fontId="1"/>
  </si>
  <si>
    <t>netファイルからLtspice.netにある程度成形</t>
    <rPh sb="23" eb="25">
      <t>テイド</t>
    </rPh>
    <rPh sb="25" eb="27">
      <t>セイケイ</t>
    </rPh>
    <phoneticPr fontId="1"/>
  </si>
  <si>
    <t>netで成形したリファレンス番号とlstファイル記載の定数と突き合わせ</t>
    <rPh sb="4" eb="6">
      <t>セイケイ</t>
    </rPh>
    <rPh sb="14" eb="16">
      <t>バンゴウ</t>
    </rPh>
    <rPh sb="24" eb="26">
      <t>キサイ</t>
    </rPh>
    <rPh sb="27" eb="29">
      <t>ジョウスウ</t>
    </rPh>
    <rPh sb="30" eb="31">
      <t>ツ</t>
    </rPh>
    <rPh sb="32" eb="33">
      <t>ア</t>
    </rPh>
    <phoneticPr fontId="1"/>
  </si>
  <si>
    <t>電圧源とGNDの選択と設定(ユーザが)</t>
    <rPh sb="0" eb="2">
      <t>デンアツ</t>
    </rPh>
    <rPh sb="2" eb="3">
      <t>ミナモト</t>
    </rPh>
    <rPh sb="8" eb="10">
      <t>センタク</t>
    </rPh>
    <rPh sb="11" eb="13">
      <t>セッテイ</t>
    </rPh>
    <phoneticPr fontId="1"/>
  </si>
  <si>
    <t>スパイスディレクティブ記述</t>
    <rPh sb="11" eb="13">
      <t>キジュツ</t>
    </rPh>
    <phoneticPr fontId="1"/>
  </si>
  <si>
    <t>pkgファイルとspiceのライブラリ突き合わせ</t>
    <rPh sb="19" eb="20">
      <t>ツ</t>
    </rPh>
    <rPh sb="21" eb="22">
      <t>ア</t>
    </rPh>
    <phoneticPr fontId="1"/>
  </si>
  <si>
    <t>結果をエクセルに記述</t>
    <rPh sb="0" eb="2">
      <t>ケッカ</t>
    </rPh>
    <rPh sb="8" eb="10">
      <t>キジュツ</t>
    </rPh>
    <phoneticPr fontId="1"/>
  </si>
  <si>
    <r>
      <t>from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collections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import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</si>
  <si>
    <r>
      <t>import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</si>
  <si>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convert_net_to_ltspice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input_lines</t>
    </r>
    <r>
      <rPr>
        <sz val="6"/>
        <color rgb="FFD8DEE9"/>
        <rFont val="Consolas"/>
        <family val="3"/>
      </rPr>
      <t>):</t>
    </r>
  </si>
  <si>
    <r>
      <t xml:space="preserve">    </t>
    </r>
    <r>
      <rPr>
        <i/>
        <sz val="6"/>
        <color rgb="FFFFFFFF"/>
        <rFont val="Consolas"/>
        <family val="3"/>
      </rPr>
      <t># 部品ごとの {ピン番号: ノード名} マップ</t>
    </r>
  </si>
  <si>
    <r>
      <t xml:space="preserve">    </t>
    </r>
    <r>
      <rPr>
        <sz val="6"/>
        <color rgb="FF94C1FA"/>
        <rFont val="Consolas"/>
        <family val="3"/>
      </rPr>
      <t>component_pins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dict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</si>
  <si>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node_to_pins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defaultdict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list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ノードに接続しているピン情報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</si>
  <si>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input_lines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</si>
  <si>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startswith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'$'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or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';'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</si>
  <si>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i/>
        <sz val="6"/>
        <color rgb="FF83D6C5"/>
        <rFont val="Consolas"/>
        <family val="3"/>
      </rPr>
      <t>continue</t>
    </r>
  </si>
  <si>
    <r>
      <t xml:space="preserve">        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()[</t>
    </r>
    <r>
      <rPr>
        <sz val="6"/>
        <color rgb="FFEBC88D"/>
        <rFont val="Consolas"/>
        <family val="3"/>
      </rPr>
      <t>1</t>
    </r>
    <r>
      <rPr>
        <sz val="6"/>
        <color rgb="FFD8DEE9"/>
        <rFont val="Consolas"/>
        <family val="3"/>
      </rPr>
      <t>:</t>
    </r>
    <r>
      <rPr>
        <sz val="6"/>
        <color rgb="FFD6D6DD"/>
        <rFont val="Consolas"/>
        <family val="3"/>
      </rPr>
      <t>].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';'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1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</si>
  <si>
    <r>
      <t xml:space="preserve">        </t>
    </r>
    <r>
      <rPr>
        <i/>
        <sz val="6"/>
        <color rgb="FFFFFFFF"/>
        <rFont val="Consolas"/>
        <family val="3"/>
      </rPr>
      <t># print(f'node_part:{node_part},pin_list:{pin_list}') # ----------&gt; node_part:N002,pin_list:R1^2,L1^1</t>
    </r>
  </si>
  <si>
    <r>
      <t xml:space="preserve">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pin_list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','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: </t>
    </r>
  </si>
  <si>
    <r>
      <t xml:space="preserve">            </t>
    </r>
    <r>
      <rPr>
        <i/>
        <sz val="6"/>
        <color rgb="FFFFFFFF"/>
        <rFont val="Consolas"/>
        <family val="3"/>
      </rPr>
      <t># print(f'entry:{entry}') # ----------&gt; entry:R1^2</t>
    </r>
  </si>
  <si>
    <r>
      <t xml:space="preserve">    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'^'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</si>
  <si>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entry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strip</t>
    </r>
    <r>
      <rPr>
        <sz val="6"/>
        <color rgb="FFD6D6DD"/>
        <rFont val="Consolas"/>
        <family val="3"/>
      </rPr>
      <t>().</t>
    </r>
    <r>
      <rPr>
        <sz val="6"/>
        <color rgb="FFAAA0FA"/>
        <rFont val="Consolas"/>
        <family val="3"/>
      </rPr>
      <t>split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'^'</t>
    </r>
    <r>
      <rPr>
        <sz val="6"/>
        <color rgb="FFD6D6DD"/>
        <rFont val="Consolas"/>
        <family val="3"/>
      </rPr>
      <t>)</t>
    </r>
  </si>
  <si>
    <r>
      <t xml:space="preserve">                </t>
    </r>
    <r>
      <rPr>
        <sz val="6"/>
        <color rgb="FF94C1FA"/>
        <rFont val="Consolas"/>
        <family val="3"/>
      </rPr>
      <t>component_pins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][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]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node_part</t>
    </r>
  </si>
  <si>
    <r>
      <t xml:space="preserve">                </t>
    </r>
    <r>
      <rPr>
        <sz val="6"/>
        <color rgb="FF94C1FA"/>
        <rFont val="Consolas"/>
        <family val="3"/>
      </rPr>
      <t>node_to_pins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node_part</t>
    </r>
    <r>
      <rPr>
        <sz val="6"/>
        <color rgb="FFD6D6DD"/>
        <rFont val="Consolas"/>
        <family val="3"/>
      </rPr>
      <t>].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((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))</t>
    </r>
    <r>
      <rPr>
        <sz val="6"/>
        <color rgb="FFD8DEE9"/>
        <rFont val="Consolas"/>
        <family val="3"/>
      </rPr>
      <t xml:space="preserve">  </t>
    </r>
  </si>
  <si>
    <r>
      <t xml:space="preserve">                </t>
    </r>
    <r>
      <rPr>
        <i/>
        <sz val="6"/>
        <color rgb="FFFFFFFF"/>
        <rFont val="Consolas"/>
        <family val="3"/>
      </rPr>
      <t># print(f'comp:{comp},pin:{pin}') # ----------&gt; comp:R1,pin:2</t>
    </r>
  </si>
  <si>
    <r>
      <t xml:space="preserve">    </t>
    </r>
    <r>
      <rPr>
        <i/>
        <sz val="6"/>
        <color rgb="FFFFFFFF"/>
        <rFont val="Consolas"/>
        <family val="3"/>
      </rPr>
      <t># ソートしてLTspice形式へ変換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</si>
  <si>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[]</t>
    </r>
  </si>
  <si>
    <r>
      <t xml:space="preserve">    </t>
    </r>
    <r>
      <rPr>
        <sz val="6"/>
        <color rgb="FF94C1FA"/>
        <rFont val="Consolas"/>
        <family val="3"/>
      </rPr>
      <t>voltage_sources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set</t>
    </r>
    <r>
      <rPr>
        <sz val="6"/>
        <color rgb="FFD6D6DD"/>
        <rFont val="Consolas"/>
        <family val="3"/>
      </rPr>
      <t>()</t>
    </r>
  </si>
  <si>
    <t xml:space="preserve">    </t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</si>
  <si>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pin_map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component_pins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items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</si>
  <si>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FFFFFF"/>
        <rFont val="Consolas"/>
        <family val="3"/>
      </rPr>
      <t># ピン番号でソートし、対応するノードを取得</t>
    </r>
  </si>
  <si>
    <r>
      <t xml:space="preserve">        </t>
    </r>
    <r>
      <rPr>
        <i/>
        <sz val="6"/>
        <color rgb="FFFFFFFF"/>
        <rFont val="Consolas"/>
        <family val="3"/>
      </rPr>
      <t># "GND"を含む場合は "0" に変換</t>
    </r>
  </si>
  <si>
    <r>
      <t xml:space="preserve">        </t>
    </r>
    <r>
      <rPr>
        <sz val="6"/>
        <color rgb="FF82D2CE"/>
        <rFont val="Consolas"/>
        <family val="3"/>
      </rP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format_node</t>
    </r>
    <r>
      <rPr>
        <sz val="6"/>
        <color rgb="FFD8DEE9"/>
        <rFont val="Consolas"/>
        <family val="3"/>
      </rPr>
      <t>(</t>
    </r>
    <r>
      <rPr>
        <i/>
        <sz val="6"/>
        <color rgb="FFD6D6DD"/>
        <rFont val="Consolas"/>
        <family val="3"/>
      </rPr>
      <t>node</t>
    </r>
    <r>
      <rPr>
        <sz val="6"/>
        <color rgb="FFD8DEE9"/>
        <rFont val="Consolas"/>
        <family val="3"/>
      </rPr>
      <t>):</t>
    </r>
  </si>
  <si>
    <r>
      <t xml:space="preserve">    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'GND'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node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</si>
  <si>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'0'</t>
    </r>
  </si>
  <si>
    <r>
      <t xml:space="preserve">            </t>
    </r>
    <r>
      <rPr>
        <i/>
        <sz val="6"/>
        <color rgb="FF83D6C5"/>
        <rFont val="Consolas"/>
        <family val="3"/>
      </rPr>
      <t>elif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re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fullmatch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r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\d</t>
    </r>
    <r>
      <rPr>
        <sz val="6"/>
        <color rgb="FFF8C762"/>
        <rFont val="Consolas"/>
        <family val="3"/>
      </rPr>
      <t>+</t>
    </r>
    <r>
      <rPr>
        <sz val="6"/>
        <color rgb="FFE394DC"/>
        <rFont val="Consolas"/>
        <family val="3"/>
      </rPr>
      <t>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node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</si>
  <si>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"N</t>
    </r>
    <r>
      <rPr>
        <sz val="6"/>
        <color rgb="FFF8C762"/>
        <rFont val="Consolas"/>
        <family val="3"/>
      </rPr>
      <t>{</t>
    </r>
    <r>
      <rPr>
        <i/>
        <sz val="6"/>
        <color rgb="FFD6D6DD"/>
        <rFont val="Consolas"/>
        <family val="3"/>
      </rPr>
      <t>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"</t>
    </r>
  </si>
  <si>
    <r>
      <t xml:space="preserve">            </t>
    </r>
    <r>
      <rPr>
        <i/>
        <sz val="6"/>
        <color rgb="FF83D6C5"/>
        <rFont val="Consolas"/>
        <family val="3"/>
      </rPr>
      <t>else</t>
    </r>
    <r>
      <rPr>
        <sz val="6"/>
        <color rgb="FFD8DEE9"/>
        <rFont val="Consolas"/>
        <family val="3"/>
      </rPr>
      <t>:</t>
    </r>
  </si>
  <si>
    <r>
      <t xml:space="preserve">            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node</t>
    </r>
  </si>
  <si>
    <t xml:space="preserve">        </t>
  </si>
  <si>
    <r>
      <t xml:space="preserve">        </t>
    </r>
    <r>
      <rPr>
        <i/>
        <sz val="6"/>
        <color rgb="FFFFFFFF"/>
        <rFont val="Consolas"/>
        <family val="3"/>
      </rPr>
      <t># R, L, C の場合はダミー定数 '777' を追加</t>
    </r>
  </si>
  <si>
    <r>
      <t xml:space="preserve">    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E394DC"/>
        <rFont val="Consolas"/>
        <family val="3"/>
      </rPr>
      <t>' '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777"</t>
    </r>
    <r>
      <rPr>
        <sz val="6"/>
        <color rgb="FFD6D6DD"/>
        <rFont val="Consolas"/>
        <family val="3"/>
      </rPr>
      <t>)</t>
    </r>
  </si>
  <si>
    <r>
      <t xml:space="preserve">        </t>
    </r>
    <r>
      <rPr>
        <i/>
        <sz val="6"/>
        <color rgb="FF83D6C5"/>
        <rFont val="Consolas"/>
        <family val="3"/>
      </rPr>
      <t>else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</si>
  <si>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E394DC"/>
        <rFont val="Consolas"/>
        <family val="3"/>
      </rPr>
      <t>' '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</si>
  <si>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FFFFFF"/>
        <rFont val="Consolas"/>
        <family val="3"/>
      </rPr>
      <t># 電圧源ノード検出：Vを含み、かつ部品として定義されていないノード名を対象にする</t>
    </r>
  </si>
  <si>
    <r>
      <t xml:space="preserve">    </t>
    </r>
    <r>
      <rPr>
        <sz val="6"/>
        <color rgb="FF94C1FA"/>
        <rFont val="Consolas"/>
        <family val="3"/>
      </rPr>
      <t>used_nodes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set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node_to_pins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keys</t>
    </r>
    <r>
      <rPr>
        <sz val="6"/>
        <color rgb="FFD6D6DD"/>
        <rFont val="Consolas"/>
        <family val="3"/>
      </rPr>
      <t>())</t>
    </r>
  </si>
  <si>
    <r>
      <t xml:space="preserve">    </t>
    </r>
    <r>
      <rPr>
        <sz val="6"/>
        <color rgb="FF94C1FA"/>
        <rFont val="Consolas"/>
        <family val="3"/>
      </rPr>
      <t>used_components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set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component_pins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keys</t>
    </r>
    <r>
      <rPr>
        <sz val="6"/>
        <color rgb="FFD6D6DD"/>
        <rFont val="Consolas"/>
        <family val="3"/>
      </rPr>
      <t>())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</si>
  <si>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node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used_nodes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</si>
  <si>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'V'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node</t>
    </r>
    <r>
      <rPr>
        <sz val="6"/>
        <color rgb="FFD6D6DD"/>
        <rFont val="Consolas"/>
        <family val="3"/>
      </rPr>
      <t>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node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used_components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</si>
  <si>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voltage_sources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add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</si>
  <si>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v_node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voltage_sources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</si>
  <si>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"V_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v_node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0 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v_node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DC 5"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仮電圧値</t>
    </r>
  </si>
  <si>
    <r>
      <t xml:space="preserve">    </t>
    </r>
    <r>
      <rPr>
        <i/>
        <sz val="6"/>
        <color rgb="FFFFFFFF"/>
        <rFont val="Consolas"/>
        <family val="3"/>
      </rPr>
      <t># 将来のディレクティブ検索用マーカー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</si>
  <si>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"* .directive_placeholder"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</si>
  <si>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".backanno"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</si>
  <si>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".end"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</si>
  <si>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i/>
        <sz val="6"/>
        <color rgb="FF83D6C5"/>
        <rFont val="Consolas"/>
        <family val="3"/>
      </rPr>
      <t>return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result_lines</t>
    </r>
  </si>
  <si>
    <r>
      <t>def</t>
    </r>
    <r>
      <rPr>
        <sz val="6"/>
        <color rgb="FFD8DEE9"/>
        <rFont val="Consolas"/>
        <family val="3"/>
      </rPr>
      <t xml:space="preserve"> </t>
    </r>
    <r>
      <rPr>
        <b/>
        <sz val="6"/>
        <color rgb="FFEFB080"/>
        <rFont val="Consolas"/>
        <family val="3"/>
      </rPr>
      <t>main</t>
    </r>
    <r>
      <rPr>
        <sz val="6"/>
        <color rgb="FFD8DEE9"/>
        <rFont val="Consolas"/>
        <family val="3"/>
      </rPr>
      <t>():</t>
    </r>
  </si>
  <si>
    <r>
      <t xml:space="preserve">    </t>
    </r>
    <r>
      <rPr>
        <i/>
        <sz val="6"/>
        <color rgb="FFFFFFFF"/>
        <rFont val="Consolas"/>
        <family val="3"/>
      </rPr>
      <t># 例: ファイル読み込みして処理</t>
    </r>
  </si>
  <si>
    <r>
      <t xml:space="preserve">    </t>
    </r>
    <r>
      <rPr>
        <i/>
        <sz val="6"/>
        <color rgb="FF83D6C5"/>
        <rFont val="Consolas"/>
        <family val="3"/>
      </rPr>
      <t>with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open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NET_FILE_PATH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encoding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"utf-8"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as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</si>
  <si>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sz val="6"/>
        <color rgb="FF94C1FA"/>
        <rFont val="Consolas"/>
        <family val="3"/>
      </rPr>
      <t>lines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readlines</t>
    </r>
    <r>
      <rPr>
        <sz val="6"/>
        <color rgb="FFD6D6DD"/>
        <rFont val="Consolas"/>
        <family val="3"/>
      </rPr>
      <t>()</t>
    </r>
  </si>
  <si>
    <r>
      <t xml:space="preserve">    </t>
    </r>
    <r>
      <rPr>
        <sz val="6"/>
        <color rgb="FF94C1FA"/>
        <rFont val="Consolas"/>
        <family val="3"/>
      </rPr>
      <t>ltspice_netlist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convert_net_to_ltspice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lines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lines は入力ファイルの各行</t>
    </r>
  </si>
  <si>
    <r>
      <t xml:space="preserve">    </t>
    </r>
    <r>
      <rPr>
        <sz val="6"/>
        <color rgb="FFD1D1D1"/>
        <rFont val="Consolas"/>
        <family val="3"/>
      </rPr>
      <t>os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makedirs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OUTPUT_DIR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exist_ok</t>
    </r>
    <r>
      <rPr>
        <sz val="6"/>
        <color rgb="FFD6D6DD"/>
        <rFont val="Consolas"/>
        <family val="3"/>
      </rPr>
      <t>=</t>
    </r>
    <r>
      <rPr>
        <sz val="6"/>
        <color rgb="FF82D2CE"/>
        <rFont val="Consolas"/>
        <family val="3"/>
      </rPr>
      <t>True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すでに存在していてもエラーにならない</t>
    </r>
  </si>
  <si>
    <r>
      <t xml:space="preserve">    </t>
    </r>
    <r>
      <rPr>
        <i/>
        <sz val="6"/>
        <color rgb="FF83D6C5"/>
        <rFont val="Consolas"/>
        <family val="3"/>
      </rPr>
      <t>with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open</t>
    </r>
    <r>
      <rPr>
        <sz val="6"/>
        <color rgb="FFD6D6DD"/>
        <rFont val="Consolas"/>
        <family val="3"/>
      </rPr>
      <t>(</t>
    </r>
    <r>
      <rPr>
        <sz val="6"/>
        <color rgb="FFD1D1D1"/>
        <rFont val="Consolas"/>
        <family val="3"/>
      </rPr>
      <t>os</t>
    </r>
    <r>
      <rPr>
        <sz val="6"/>
        <color rgb="FFD6D6DD"/>
        <rFont val="Consolas"/>
        <family val="3"/>
      </rPr>
      <t>.</t>
    </r>
    <r>
      <rPr>
        <sz val="6"/>
        <color rgb="FFAA9BF5"/>
        <rFont val="Consolas"/>
        <family val="3"/>
      </rPr>
      <t>path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AA9BF5"/>
        <rFont val="Consolas"/>
        <family val="3"/>
      </rPr>
      <t>OUTPUT_DIR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"output_file.cir"</t>
    </r>
    <r>
      <rPr>
        <sz val="6"/>
        <color rgb="FFD6D6DD"/>
        <rFont val="Consolas"/>
        <family val="3"/>
      </rPr>
      <t>),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"w"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D6D6DD"/>
        <rFont val="Consolas"/>
        <family val="3"/>
      </rPr>
      <t>encoding</t>
    </r>
    <r>
      <rPr>
        <sz val="6"/>
        <color rgb="FFD6D6DD"/>
        <rFont val="Consolas"/>
        <family val="3"/>
      </rPr>
      <t>=</t>
    </r>
    <r>
      <rPr>
        <sz val="6"/>
        <color rgb="FFE394DC"/>
        <rFont val="Consolas"/>
        <family val="3"/>
      </rPr>
      <t>"utf-8"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as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f</t>
    </r>
    <r>
      <rPr>
        <sz val="6"/>
        <color rgb="FFD8DEE9"/>
        <rFont val="Consolas"/>
        <family val="3"/>
      </rPr>
      <t>:</t>
    </r>
  </si>
  <si>
    <r>
      <t xml:space="preserve">       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ltspice_netlist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</si>
  <si>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f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write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line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+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\n</t>
    </r>
    <r>
      <rPr>
        <sz val="6"/>
        <color rgb="FFE394DC"/>
        <rFont val="Consolas"/>
        <family val="3"/>
      </rPr>
      <t>"</t>
    </r>
    <r>
      <rPr>
        <sz val="6"/>
        <color rgb="FFD6D6DD"/>
        <rFont val="Consolas"/>
        <family val="3"/>
      </rPr>
      <t>)</t>
    </r>
  </si>
  <si>
    <r>
      <t xml:space="preserve">    </t>
    </r>
    <r>
      <rPr>
        <sz val="6"/>
        <color rgb="FF82D2CE"/>
        <rFont val="Consolas"/>
        <family val="3"/>
      </rPr>
      <t>print</t>
    </r>
    <r>
      <rPr>
        <sz val="6"/>
        <color rgb="FFD6D6DD"/>
        <rFont val="Consolas"/>
        <family val="3"/>
      </rPr>
      <t>(</t>
    </r>
    <r>
      <rPr>
        <sz val="6"/>
        <color rgb="FFE394DC"/>
        <rFont val="Consolas"/>
        <family val="3"/>
      </rPr>
      <t>"11"</t>
    </r>
    <r>
      <rPr>
        <sz val="6"/>
        <color rgb="FFD6D6DD"/>
        <rFont val="Consolas"/>
        <family val="3"/>
      </rPr>
      <t>)</t>
    </r>
  </si>
  <si>
    <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__name__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"__main__"</t>
    </r>
    <r>
      <rPr>
        <sz val="6"/>
        <color rgb="FFD8DEE9"/>
        <rFont val="Consolas"/>
        <family val="3"/>
      </rPr>
      <t>:</t>
    </r>
  </si>
  <si>
    <r>
      <t xml:space="preserve">    </t>
    </r>
    <r>
      <rPr>
        <sz val="6"/>
        <color rgb="FFEBC88D"/>
        <rFont val="Consolas"/>
        <family val="3"/>
      </rPr>
      <t>main</t>
    </r>
    <r>
      <rPr>
        <sz val="6"/>
        <color rgb="FFD6D6DD"/>
        <rFont val="Consolas"/>
        <family val="3"/>
      </rPr>
      <t>()</t>
    </r>
  </si>
  <si>
    <t># -*- coding: utf-8 -*-</t>
  </si>
  <si>
    <r>
      <t>import</t>
    </r>
    <r>
      <rPr>
        <sz val="6"/>
        <color rgb="FFD8DEE9"/>
        <rFont val="Consolas"/>
        <family val="3"/>
      </rPr>
      <t xml:space="preserve"> </t>
    </r>
    <r>
      <rPr>
        <sz val="6"/>
        <color rgb="FFD1D1D1"/>
        <rFont val="Consolas"/>
        <family val="3"/>
      </rPr>
      <t>os</t>
    </r>
  </si>
  <si>
    <t>OUTPUT_DIR = "C:/Users/Owner/Desktop/my_program/kyo-pro/input_data"</t>
    <phoneticPr fontId="1"/>
  </si>
  <si>
    <r>
      <t>CCF_FILE_PATH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"C:/Users/Owner/Desktop/my_program/kyo-pro/input_data/sample.ccf"</t>
    </r>
  </si>
  <si>
    <t>NET_FILE_PATH = "C:/Users/Owner/Desktop/my_program/kyo-pro/input_data/input_sample.net"</t>
    <phoneticPr fontId="1"/>
  </si>
  <si>
    <t>PKG_FILE_PATH ="C:/Users/Owner/Desktop/my_program/kyo-pro/input_data/sample.pkg"</t>
    <phoneticPr fontId="1"/>
  </si>
  <si>
    <r>
      <t xml:space="preserve">        </t>
    </r>
    <r>
      <rPr>
        <i/>
        <sz val="6"/>
        <color rgb="FFFFFFFF"/>
        <rFont val="Consolas"/>
        <family val="3"/>
      </rPr>
      <t># nodes = [format_node(pin_map[pin]) for pin in sorted(pin_map.keys(), key=lambda x: int(x))]</t>
    </r>
  </si>
  <si>
    <r>
      <t xml:space="preserve">        </t>
    </r>
    <r>
      <rPr>
        <sz val="6"/>
        <color rgb="FF94C1FA"/>
        <rFont val="Consolas"/>
        <family val="3"/>
      </rPr>
      <t>nodes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format_node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pin_map</t>
    </r>
    <r>
      <rPr>
        <sz val="6"/>
        <color rgb="FFD6D6DD"/>
        <rFont val="Consolas"/>
        <family val="3"/>
      </rPr>
      <t>[</t>
    </r>
    <r>
      <rPr>
        <sz val="6"/>
        <color rgb="FF94C1FA"/>
        <rFont val="Consolas"/>
        <family val="3"/>
      </rPr>
      <t>pin</t>
    </r>
    <r>
      <rPr>
        <sz val="6"/>
        <color rgb="FFD6D6DD"/>
        <rFont val="Consolas"/>
        <family val="3"/>
      </rPr>
      <t>])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for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pin</t>
    </r>
    <r>
      <rPr>
        <sz val="6"/>
        <color rgb="FFD8DEE9"/>
        <rFont val="Consolas"/>
        <family val="3"/>
      </rPr>
      <t xml:space="preserve"> </t>
    </r>
    <r>
      <rPr>
        <i/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sorted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pin_map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keys</t>
    </r>
    <r>
      <rPr>
        <sz val="6"/>
        <color rgb="FFD6D6DD"/>
        <rFont val="Consolas"/>
        <family val="3"/>
      </rPr>
      <t>())]</t>
    </r>
  </si>
  <si>
    <r>
      <t xml:space="preserve">        </t>
    </r>
    <r>
      <rPr>
        <i/>
        <sz val="6"/>
        <color rgb="FF83D6C5"/>
        <rFont val="Consolas"/>
        <family val="3"/>
      </rPr>
      <t>elif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0</t>
    </r>
    <r>
      <rPr>
        <sz val="6"/>
        <color rgb="FFD6D6DD"/>
        <rFont val="Consolas"/>
        <family val="3"/>
      </rPr>
      <t>].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'D'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82D2CE"/>
        <rFont val="Consolas"/>
        <family val="3"/>
      </rPr>
      <t>len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==</t>
    </r>
    <r>
      <rPr>
        <sz val="6"/>
        <color rgb="FFD8DEE9"/>
        <rFont val="Consolas"/>
        <family val="3"/>
      </rPr>
      <t xml:space="preserve"> </t>
    </r>
    <r>
      <rPr>
        <sz val="6"/>
        <color rgb="FFEBC88D"/>
        <rFont val="Consolas"/>
        <family val="3"/>
      </rPr>
      <t>2</t>
    </r>
    <r>
      <rPr>
        <sz val="6"/>
        <color rgb="FFD8DEE9"/>
        <rFont val="Consolas"/>
        <family val="3"/>
      </rPr>
      <t>:</t>
    </r>
  </si>
  <si>
    <r>
      <t xml:space="preserve">            </t>
    </r>
    <r>
      <rPr>
        <sz val="6"/>
        <color rgb="FF94C1FA"/>
        <rFont val="Consolas"/>
        <family val="3"/>
      </rPr>
      <t>result_lines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append</t>
    </r>
    <r>
      <rPr>
        <sz val="6"/>
        <color rgb="FFD6D6DD"/>
        <rFont val="Consolas"/>
        <family val="3"/>
      </rPr>
      <t>(</t>
    </r>
    <r>
      <rPr>
        <sz val="6"/>
        <color rgb="FF82D2CE"/>
        <rFont val="Consolas"/>
        <family val="3"/>
      </rPr>
      <t>f</t>
    </r>
    <r>
      <rPr>
        <sz val="6"/>
        <color rgb="FFE394DC"/>
        <rFont val="Consolas"/>
        <family val="3"/>
      </rPr>
      <t>"</t>
    </r>
    <r>
      <rPr>
        <sz val="6"/>
        <color rgb="FFF8C762"/>
        <rFont val="Consolas"/>
        <family val="3"/>
      </rPr>
      <t>{</t>
    </r>
    <r>
      <rPr>
        <sz val="6"/>
        <color rgb="FF94C1FA"/>
        <rFont val="Consolas"/>
        <family val="3"/>
      </rPr>
      <t>comp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</t>
    </r>
    <r>
      <rPr>
        <sz val="6"/>
        <color rgb="FFF8C762"/>
        <rFont val="Consolas"/>
        <family val="3"/>
      </rPr>
      <t>{</t>
    </r>
    <r>
      <rPr>
        <sz val="6"/>
        <color rgb="FFE394DC"/>
        <rFont val="Consolas"/>
        <family val="3"/>
      </rPr>
      <t>' '</t>
    </r>
    <r>
      <rPr>
        <sz val="6"/>
        <color rgb="FFD6D6DD"/>
        <rFont val="Consolas"/>
        <family val="3"/>
      </rPr>
      <t>.</t>
    </r>
    <r>
      <rPr>
        <sz val="6"/>
        <color rgb="FFEBC88D"/>
        <rFont val="Consolas"/>
        <family val="3"/>
      </rPr>
      <t>join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nodes</t>
    </r>
    <r>
      <rPr>
        <sz val="6"/>
        <color rgb="FFD6D6DD"/>
        <rFont val="Consolas"/>
        <family val="3"/>
      </rPr>
      <t>)</t>
    </r>
    <r>
      <rPr>
        <sz val="6"/>
        <color rgb="FFF8C762"/>
        <rFont val="Consolas"/>
        <family val="3"/>
      </rPr>
      <t>}</t>
    </r>
    <r>
      <rPr>
        <sz val="6"/>
        <color rgb="FFE394DC"/>
        <rFont val="Consolas"/>
        <family val="3"/>
      </rPr>
      <t xml:space="preserve"> D"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 xml:space="preserve">  </t>
    </r>
    <r>
      <rPr>
        <i/>
        <sz val="6"/>
        <color rgb="FFFFFFFF"/>
        <rFont val="Consolas"/>
        <family val="3"/>
      </rPr>
      <t># LTspice組み込み汎用ダイオードモデル</t>
    </r>
  </si>
  <si>
    <r>
      <t xml:space="preserve">        </t>
    </r>
    <r>
      <rPr>
        <i/>
        <sz val="6"/>
        <color rgb="FF83D6C5"/>
        <rFont val="Consolas"/>
        <family val="3"/>
      </rPr>
      <t>if</t>
    </r>
    <r>
      <rPr>
        <sz val="6"/>
        <color rgb="FFD8DEE9"/>
        <rFont val="Consolas"/>
        <family val="3"/>
      </rPr>
      <t xml:space="preserve"> 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0</t>
    </r>
    <r>
      <rPr>
        <sz val="6"/>
        <color rgb="FFD6D6DD"/>
        <rFont val="Consolas"/>
        <family val="3"/>
      </rPr>
      <t>].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{</t>
    </r>
    <r>
      <rPr>
        <sz val="6"/>
        <color rgb="FFE394DC"/>
        <rFont val="Consolas"/>
        <family val="3"/>
      </rPr>
      <t>'R'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'L'</t>
    </r>
    <r>
      <rPr>
        <sz val="6"/>
        <color rgb="FFD6D6DD"/>
        <rFont val="Consolas"/>
        <family val="3"/>
      </rPr>
      <t>,</t>
    </r>
    <r>
      <rPr>
        <sz val="6"/>
        <color rgb="FFD8DEE9"/>
        <rFont val="Consolas"/>
        <family val="3"/>
      </rPr>
      <t xml:space="preserve"> </t>
    </r>
    <r>
      <rPr>
        <sz val="6"/>
        <color rgb="FFE394DC"/>
        <rFont val="Consolas"/>
        <family val="3"/>
      </rPr>
      <t>'C'</t>
    </r>
    <r>
      <rPr>
        <sz val="6"/>
        <color rgb="FFD8DEE9"/>
        <rFont val="Consolas"/>
        <family val="3"/>
      </rPr>
      <t xml:space="preserve">} </t>
    </r>
    <r>
      <rPr>
        <sz val="6"/>
        <color rgb="FF83D6C5"/>
        <rFont val="Consolas"/>
        <family val="3"/>
      </rPr>
      <t>and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not</t>
    </r>
    <r>
      <rPr>
        <sz val="6"/>
        <color rgb="FFD8DEE9"/>
        <rFont val="Consolas"/>
        <family val="3"/>
      </rPr>
      <t xml:space="preserve"> </t>
    </r>
    <r>
      <rPr>
        <sz val="6"/>
        <color rgb="FFD6D6DD"/>
        <rFont val="Consolas"/>
        <family val="3"/>
      </rPr>
      <t>(</t>
    </r>
    <r>
      <rPr>
        <sz val="6"/>
        <color rgb="FF94C1FA"/>
        <rFont val="Consolas"/>
        <family val="3"/>
      </rPr>
      <t>comp</t>
    </r>
    <r>
      <rPr>
        <sz val="6"/>
        <color rgb="FFD6D6DD"/>
        <rFont val="Consolas"/>
        <family val="3"/>
      </rPr>
      <t>[</t>
    </r>
    <r>
      <rPr>
        <sz val="6"/>
        <color rgb="FFEBC88D"/>
        <rFont val="Consolas"/>
        <family val="3"/>
      </rPr>
      <t>0</t>
    </r>
    <r>
      <rPr>
        <sz val="6"/>
        <color rgb="FFD8DEE9"/>
        <rFont val="Consolas"/>
        <family val="3"/>
      </rPr>
      <t>:3</t>
    </r>
    <r>
      <rPr>
        <sz val="6"/>
        <color rgb="FFD6D6DD"/>
        <rFont val="Consolas"/>
        <family val="3"/>
      </rPr>
      <t>].</t>
    </r>
    <r>
      <rPr>
        <sz val="6"/>
        <color rgb="FFAAA0FA"/>
        <rFont val="Consolas"/>
        <family val="3"/>
      </rPr>
      <t>upper</t>
    </r>
    <r>
      <rPr>
        <sz val="6"/>
        <color rgb="FFD6D6DD"/>
        <rFont val="Consolas"/>
        <family val="3"/>
      </rPr>
      <t>()</t>
    </r>
    <r>
      <rPr>
        <sz val="6"/>
        <color rgb="FFD8DEE9"/>
        <rFont val="Consolas"/>
        <family val="3"/>
      </rPr>
      <t xml:space="preserve"> </t>
    </r>
    <r>
      <rPr>
        <sz val="6"/>
        <color rgb="FF83D6C5"/>
        <rFont val="Consolas"/>
        <family val="3"/>
      </rPr>
      <t>in</t>
    </r>
    <r>
      <rPr>
        <sz val="6"/>
        <color rgb="FFD8DEE9"/>
        <rFont val="Consolas"/>
        <family val="3"/>
      </rPr>
      <t xml:space="preserve"> {</t>
    </r>
    <r>
      <rPr>
        <sz val="6"/>
        <color rgb="FFE394DC"/>
        <rFont val="Consolas"/>
        <family val="3"/>
      </rPr>
      <t>'LED'</t>
    </r>
    <r>
      <rPr>
        <sz val="6"/>
        <color rgb="FFD8DEE9"/>
        <rFont val="Consolas"/>
        <family val="3"/>
      </rPr>
      <t>}</t>
    </r>
    <r>
      <rPr>
        <sz val="6"/>
        <color rgb="FFD6D6DD"/>
        <rFont val="Consolas"/>
        <family val="3"/>
      </rPr>
      <t>)</t>
    </r>
    <r>
      <rPr>
        <sz val="6"/>
        <color rgb="FFD8DEE9"/>
        <rFont val="Consolas"/>
        <family val="3"/>
      </rPr>
      <t>: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</si>
</sst>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6"/>
      <color rgb="FFD8DEE9"/>
      <name val="Consolas"/>
      <family val="3"/>
    </font>
    <font>
      <i/>
      <sz val="6"/>
      <color rgb="FF83D6C5"/>
      <name val="Consolas"/>
      <family val="3"/>
    </font>
    <font>
      <sz val="6"/>
      <color rgb="FFD1D1D1"/>
      <name val="Consolas"/>
      <family val="3"/>
    </font>
    <font>
      <sz val="6"/>
      <color rgb="FFEBC88D"/>
      <name val="Consolas"/>
      <family val="3"/>
    </font>
    <font>
      <sz val="6"/>
      <color rgb="FF82D2CE"/>
      <name val="Consolas"/>
      <family val="3"/>
    </font>
    <font>
      <b/>
      <sz val="6"/>
      <color rgb="FFEFB080"/>
      <name val="Consolas"/>
      <family val="3"/>
    </font>
    <font>
      <i/>
      <sz val="6"/>
      <color rgb="FFD6D6DD"/>
      <name val="Consolas"/>
      <family val="3"/>
    </font>
    <font>
      <i/>
      <sz val="6"/>
      <color rgb="FFFFFFFF"/>
      <name val="Consolas"/>
      <family val="3"/>
    </font>
    <font>
      <sz val="6"/>
      <color rgb="FF94C1FA"/>
      <name val="Consolas"/>
      <family val="3"/>
    </font>
    <font>
      <sz val="6"/>
      <color rgb="FFD6D6DD"/>
      <name val="Consolas"/>
      <family val="3"/>
    </font>
    <font>
      <sz val="6"/>
      <color rgb="FF83D6C5"/>
      <name val="Consolas"/>
      <family val="3"/>
    </font>
    <font>
      <sz val="6"/>
      <color rgb="FFAAA0FA"/>
      <name val="Consolas"/>
      <family val="3"/>
    </font>
    <font>
      <sz val="6"/>
      <color rgb="FFE394DC"/>
      <name val="Consolas"/>
      <family val="3"/>
    </font>
    <font>
      <sz val="6"/>
      <color rgb="FFF8C762"/>
      <name val="Consolas"/>
      <family val="3"/>
    </font>
    <font>
      <sz val="11"/>
      <color theme="0"/>
      <name val="Calibri"/>
      <family val="2"/>
    </font>
    <font>
      <sz val="6"/>
      <color rgb="FFAA9BF5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0" fillId="2" borderId="1" xfId="0" applyFill="1" applyBorder="1"/>
    <xf numFmtId="14" fontId="0" fillId="0" borderId="2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3" borderId="0" xfId="0" applyFill="1"/>
    <xf numFmtId="0" fontId="0" fillId="4" borderId="0" xfId="0" applyFill="1"/>
    <xf numFmtId="0" fontId="5" fillId="5" borderId="0" xfId="0" applyFont="1" applyFill="1" applyAlignment="1">
      <alignment vertical="center"/>
    </xf>
    <xf numFmtId="0" fontId="0" fillId="5" borderId="0" xfId="0" applyFill="1"/>
    <xf numFmtId="0" fontId="0" fillId="5" borderId="0" xfId="0" applyFill="1" applyAlignment="1">
      <alignment vertical="center"/>
    </xf>
    <xf numFmtId="0" fontId="8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18" fillId="5" borderId="0" xfId="0" applyFont="1" applyFill="1"/>
    <xf numFmtId="0" fontId="19" fillId="5" borderId="0" xfId="0" applyFont="1" applyFill="1" applyAlignment="1">
      <alignment vertical="center"/>
    </xf>
    <xf numFmtId="0" fontId="11" fillId="5" borderId="0" xfId="0" applyFont="1" applyFill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600146</xdr:colOff>
      <xdr:row>17</xdr:row>
      <xdr:rowOff>0</xdr:rowOff>
    </xdr:from>
    <xdr:to>
      <xdr:col>14</xdr:col>
      <xdr:colOff>0</xdr:colOff>
      <xdr:row>23</xdr:row>
      <xdr:rowOff>117761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38175F29-54DB-FF95-8ADB-110B4D92B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8889" y="3978729"/>
          <a:ext cx="5953054" cy="15220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16</xdr:col>
      <xdr:colOff>547634</xdr:colOff>
      <xdr:row>9</xdr:row>
      <xdr:rowOff>147831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CEAA170-18DB-5A2F-39DF-E9D20D562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3866" y="1184622"/>
          <a:ext cx="8507012" cy="10955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600146</xdr:colOff>
      <xdr:row>17</xdr:row>
      <xdr:rowOff>0</xdr:rowOff>
    </xdr:from>
    <xdr:to>
      <xdr:col>14</xdr:col>
      <xdr:colOff>0</xdr:colOff>
      <xdr:row>23</xdr:row>
      <xdr:rowOff>117761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43BB1F90-02BD-4626-ACD7-D60F18605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8889" y="3978729"/>
          <a:ext cx="5953054" cy="15220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9"/>
  <sheetViews>
    <sheetView showGridLines="0" zoomScale="85" zoomScaleNormal="85" workbookViewId="0">
      <selection activeCell="K13" sqref="K13"/>
    </sheetView>
  </sheetViews>
  <sheetFormatPr defaultRowHeight="18.45"/>
  <cols>
    <col min="2" max="2" width="10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>
        <v>45794</v>
      </c>
    </row>
    <row r="5" spans="1:7">
      <c r="E5" s="5">
        <v>1</v>
      </c>
      <c r="F5" t="s">
        <v>3</v>
      </c>
    </row>
    <row r="8" spans="1:7">
      <c r="E8" s="5" t="s">
        <v>4</v>
      </c>
    </row>
    <row r="10" spans="1:7">
      <c r="E10" s="5" t="s">
        <v>5</v>
      </c>
      <c r="F10">
        <v>0.2</v>
      </c>
      <c r="G10" t="s">
        <v>8</v>
      </c>
    </row>
    <row r="11" spans="1:7">
      <c r="E11" s="5" t="s">
        <v>6</v>
      </c>
      <c r="F11">
        <f>1/(2*PI()*50)^2/F10</f>
        <v>5.0660591821168887E-5</v>
      </c>
      <c r="G11" t="s">
        <v>7</v>
      </c>
    </row>
    <row r="12" spans="1:7">
      <c r="F12">
        <f>F11*10^6</f>
        <v>50.660591821168886</v>
      </c>
      <c r="G12" t="s">
        <v>9</v>
      </c>
    </row>
    <row r="18" spans="3:5">
      <c r="C18" s="5" t="s">
        <v>10</v>
      </c>
      <c r="E18" s="5" t="s">
        <v>11</v>
      </c>
    </row>
    <row r="19" spans="3:5">
      <c r="E19" s="5" t="s">
        <v>12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0A07-3ECD-47AD-9821-2C370317D2D1}">
  <sheetPr codeName="Sheet2"/>
  <dimension ref="A1:B81"/>
  <sheetViews>
    <sheetView tabSelected="1" workbookViewId="0"/>
  </sheetViews>
  <sheetFormatPr defaultRowHeight="18.45"/>
  <cols>
    <col min="1" max="1" width="9.5703125" style="25" customWidth="1"/>
    <col min="2" max="16384" width="9.140625" style="21"/>
  </cols>
  <sheetData>
    <row r="1" spans="1:2">
      <c r="A1" s="27" t="s">
        <v>97</v>
      </c>
    </row>
    <row r="2" spans="1:2">
      <c r="A2" s="20" t="s">
        <v>35</v>
      </c>
      <c r="B2" s="20"/>
    </row>
    <row r="3" spans="1:2">
      <c r="A3" s="20" t="s">
        <v>36</v>
      </c>
      <c r="B3" s="20"/>
    </row>
    <row r="4" spans="1:2">
      <c r="A4" s="20" t="s">
        <v>98</v>
      </c>
      <c r="B4" s="20"/>
    </row>
    <row r="5" spans="1:2">
      <c r="A5" s="26" t="s">
        <v>99</v>
      </c>
      <c r="B5" s="20"/>
    </row>
    <row r="6" spans="1:2">
      <c r="A6" s="26" t="s">
        <v>101</v>
      </c>
      <c r="B6" s="20"/>
    </row>
    <row r="7" spans="1:2">
      <c r="A7" s="26" t="s">
        <v>102</v>
      </c>
      <c r="B7" s="20"/>
    </row>
    <row r="8" spans="1:2">
      <c r="A8" s="26" t="s">
        <v>100</v>
      </c>
      <c r="B8" s="22"/>
    </row>
    <row r="9" spans="1:2">
      <c r="A9" s="23" t="s">
        <v>37</v>
      </c>
      <c r="B9" s="22"/>
    </row>
    <row r="10" spans="1:2">
      <c r="A10" s="24" t="s">
        <v>38</v>
      </c>
      <c r="B10" s="23"/>
    </row>
    <row r="11" spans="1:2">
      <c r="A11" s="24" t="s">
        <v>39</v>
      </c>
      <c r="B11" s="24"/>
    </row>
    <row r="12" spans="1:2">
      <c r="A12" s="24" t="s">
        <v>40</v>
      </c>
      <c r="B12" s="24"/>
    </row>
    <row r="13" spans="1:2">
      <c r="A13" s="24" t="s">
        <v>41</v>
      </c>
      <c r="B13" s="24"/>
    </row>
    <row r="14" spans="1:2">
      <c r="A14" s="24" t="s">
        <v>42</v>
      </c>
      <c r="B14" s="22"/>
    </row>
    <row r="15" spans="1:2">
      <c r="A15" s="24" t="s">
        <v>43</v>
      </c>
      <c r="B15" s="24"/>
    </row>
    <row r="16" spans="1:2">
      <c r="A16" s="24" t="s">
        <v>44</v>
      </c>
      <c r="B16" s="24"/>
    </row>
    <row r="17" spans="1:2">
      <c r="A17" s="24" t="s">
        <v>45</v>
      </c>
      <c r="B17" s="24"/>
    </row>
    <row r="18" spans="1:2">
      <c r="A18" s="24" t="s">
        <v>46</v>
      </c>
      <c r="B18" s="24"/>
    </row>
    <row r="19" spans="1:2">
      <c r="A19" s="24" t="s">
        <v>47</v>
      </c>
      <c r="B19" s="24"/>
    </row>
    <row r="20" spans="1:2">
      <c r="A20" s="24" t="s">
        <v>48</v>
      </c>
      <c r="B20" s="24"/>
    </row>
    <row r="21" spans="1:2">
      <c r="A21" s="24" t="s">
        <v>49</v>
      </c>
      <c r="B21" s="24"/>
    </row>
    <row r="22" spans="1:2">
      <c r="A22" s="24" t="s">
        <v>50</v>
      </c>
      <c r="B22" s="24"/>
    </row>
    <row r="23" spans="1:2">
      <c r="A23" s="24" t="s">
        <v>51</v>
      </c>
      <c r="B23" s="24"/>
    </row>
    <row r="24" spans="1:2">
      <c r="A24" s="24" t="s">
        <v>52</v>
      </c>
      <c r="B24" s="24"/>
    </row>
    <row r="25" spans="1:2">
      <c r="A25" s="24" t="s">
        <v>53</v>
      </c>
      <c r="B25" s="24"/>
    </row>
    <row r="26" spans="1:2">
      <c r="A26" s="24" t="s">
        <v>54</v>
      </c>
      <c r="B26" s="24"/>
    </row>
    <row r="27" spans="1:2">
      <c r="A27" s="24" t="s">
        <v>55</v>
      </c>
      <c r="B27" s="24"/>
    </row>
    <row r="28" spans="1:2">
      <c r="A28" s="24" t="s">
        <v>56</v>
      </c>
      <c r="B28" s="24"/>
    </row>
    <row r="29" spans="1:2">
      <c r="A29" s="24" t="s">
        <v>57</v>
      </c>
      <c r="B29" s="24"/>
    </row>
    <row r="30" spans="1:2">
      <c r="A30" s="24" t="s">
        <v>58</v>
      </c>
      <c r="B30" s="24"/>
    </row>
    <row r="31" spans="1:2">
      <c r="A31" s="24" t="s">
        <v>59</v>
      </c>
      <c r="B31" s="24"/>
    </row>
    <row r="32" spans="1:2">
      <c r="A32" s="24" t="s">
        <v>60</v>
      </c>
      <c r="B32" s="24"/>
    </row>
    <row r="33" spans="1:2">
      <c r="A33" s="24" t="s">
        <v>61</v>
      </c>
      <c r="B33" s="24"/>
    </row>
    <row r="34" spans="1:2">
      <c r="A34" s="24" t="s">
        <v>62</v>
      </c>
      <c r="B34" s="24"/>
    </row>
    <row r="35" spans="1:2">
      <c r="A35" s="24" t="s">
        <v>63</v>
      </c>
      <c r="B35" s="24"/>
    </row>
    <row r="36" spans="1:2">
      <c r="A36" s="24" t="s">
        <v>64</v>
      </c>
      <c r="B36" s="24"/>
    </row>
    <row r="37" spans="1:2">
      <c r="A37" s="24" t="s">
        <v>65</v>
      </c>
      <c r="B37" s="24"/>
    </row>
    <row r="38" spans="1:2">
      <c r="A38" s="24" t="s">
        <v>66</v>
      </c>
      <c r="B38" s="24"/>
    </row>
    <row r="39" spans="1:2">
      <c r="A39" s="24" t="s">
        <v>103</v>
      </c>
      <c r="B39" s="24"/>
    </row>
    <row r="40" spans="1:2">
      <c r="A40" s="24" t="s">
        <v>104</v>
      </c>
      <c r="B40" s="24"/>
    </row>
    <row r="41" spans="1:2">
      <c r="A41" s="24" t="s">
        <v>67</v>
      </c>
      <c r="B41" s="24"/>
    </row>
    <row r="42" spans="1:2">
      <c r="A42" s="24" t="s">
        <v>68</v>
      </c>
      <c r="B42" s="24"/>
    </row>
    <row r="43" spans="1:2">
      <c r="A43" s="24"/>
      <c r="B43" s="24"/>
    </row>
    <row r="44" spans="1:2">
      <c r="A44" s="24"/>
      <c r="B44" s="24"/>
    </row>
    <row r="45" spans="1:2">
      <c r="A45" s="24" t="s">
        <v>107</v>
      </c>
      <c r="B45" s="24"/>
    </row>
    <row r="46" spans="1:2">
      <c r="A46" s="24" t="s">
        <v>69</v>
      </c>
      <c r="B46" s="24"/>
    </row>
    <row r="47" spans="1:2">
      <c r="A47" s="24" t="s">
        <v>105</v>
      </c>
      <c r="B47" s="24"/>
    </row>
    <row r="48" spans="1:2">
      <c r="A48" s="24" t="s">
        <v>106</v>
      </c>
      <c r="B48" s="22"/>
    </row>
    <row r="49" spans="1:2">
      <c r="A49" s="24" t="s">
        <v>70</v>
      </c>
      <c r="B49" s="24"/>
    </row>
    <row r="50" spans="1:2">
      <c r="A50" s="24" t="s">
        <v>71</v>
      </c>
      <c r="B50" s="24"/>
    </row>
    <row r="51" spans="1:2">
      <c r="A51" s="24" t="s">
        <v>72</v>
      </c>
      <c r="B51" s="24"/>
    </row>
    <row r="52" spans="1:2">
      <c r="A52" s="24" t="s">
        <v>73</v>
      </c>
      <c r="B52" s="24"/>
    </row>
    <row r="53" spans="1:2">
      <c r="A53" s="24" t="s">
        <v>74</v>
      </c>
      <c r="B53" s="24"/>
    </row>
    <row r="54" spans="1:2">
      <c r="A54" s="24" t="s">
        <v>75</v>
      </c>
      <c r="B54" s="24"/>
    </row>
    <row r="55" spans="1:2">
      <c r="A55" s="24" t="s">
        <v>76</v>
      </c>
      <c r="B55" s="22"/>
    </row>
    <row r="56" spans="1:2">
      <c r="A56" s="24" t="s">
        <v>77</v>
      </c>
      <c r="B56" s="24"/>
    </row>
    <row r="57" spans="1:2">
      <c r="A57" s="24" t="s">
        <v>78</v>
      </c>
      <c r="B57" s="24"/>
    </row>
    <row r="58" spans="1:2">
      <c r="A58" s="24" t="s">
        <v>79</v>
      </c>
      <c r="B58" s="22"/>
    </row>
    <row r="59" spans="1:2">
      <c r="A59" s="24" t="s">
        <v>80</v>
      </c>
      <c r="B59" s="24"/>
    </row>
    <row r="60" spans="1:2">
      <c r="A60" s="24" t="s">
        <v>81</v>
      </c>
      <c r="B60" s="24"/>
    </row>
    <row r="61" spans="1:2">
      <c r="A61" s="24" t="s">
        <v>82</v>
      </c>
      <c r="B61" s="24"/>
    </row>
    <row r="62" spans="1:2">
      <c r="A62" s="24" t="s">
        <v>83</v>
      </c>
      <c r="B62" s="24"/>
    </row>
    <row r="63" spans="1:2">
      <c r="A63" s="24" t="s">
        <v>84</v>
      </c>
      <c r="B63" s="22"/>
    </row>
    <row r="64" spans="1:2">
      <c r="A64" s="23" t="s">
        <v>85</v>
      </c>
      <c r="B64" s="24"/>
    </row>
    <row r="65" spans="1:1">
      <c r="A65" s="24" t="s">
        <v>86</v>
      </c>
    </row>
    <row r="66" spans="1:1">
      <c r="A66" s="24" t="s">
        <v>87</v>
      </c>
    </row>
    <row r="67" spans="1:1">
      <c r="A67" s="24" t="s">
        <v>88</v>
      </c>
    </row>
    <row r="68" spans="1:1">
      <c r="A68" s="24" t="s">
        <v>89</v>
      </c>
    </row>
    <row r="69" spans="1:1">
      <c r="A69" s="24" t="s">
        <v>90</v>
      </c>
    </row>
    <row r="70" spans="1:1">
      <c r="A70" s="24" t="s">
        <v>91</v>
      </c>
    </row>
    <row r="71" spans="1:1">
      <c r="A71" s="24" t="s">
        <v>92</v>
      </c>
    </row>
    <row r="72" spans="1:1">
      <c r="A72" s="24" t="s">
        <v>93</v>
      </c>
    </row>
    <row r="73" spans="1:1">
      <c r="A73" s="24" t="s">
        <v>94</v>
      </c>
    </row>
    <row r="74" spans="1:1">
      <c r="A74" s="20" t="s">
        <v>95</v>
      </c>
    </row>
    <row r="75" spans="1:1">
      <c r="A75" s="24" t="s">
        <v>96</v>
      </c>
    </row>
    <row r="76" spans="1:1">
      <c r="A76" s="24"/>
    </row>
    <row r="77" spans="1:1">
      <c r="A77" s="24"/>
    </row>
    <row r="78" spans="1:1">
      <c r="A78" s="24"/>
    </row>
    <row r="79" spans="1:1">
      <c r="A79" s="22"/>
    </row>
    <row r="80" spans="1:1">
      <c r="A80" s="20"/>
    </row>
    <row r="81" spans="1:1">
      <c r="A81" s="24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FAF53-880F-4A51-AF8C-F379270C709B}">
  <sheetPr codeName="Sheet5"/>
  <dimension ref="A1"/>
  <sheetViews>
    <sheetView workbookViewId="0">
      <selection activeCell="F8" sqref="F8"/>
    </sheetView>
  </sheetViews>
  <sheetFormatPr defaultRowHeight="18.4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17C1-FDA6-4E77-9D23-43F169C53351}">
  <sheetPr codeName="Sheet3"/>
  <dimension ref="A1:R35"/>
  <sheetViews>
    <sheetView showGridLines="0" topLeftCell="A23" zoomScale="85" zoomScaleNormal="85" workbookViewId="0">
      <selection activeCell="F38" sqref="F38"/>
    </sheetView>
  </sheetViews>
  <sheetFormatPr defaultRowHeight="18.45"/>
  <cols>
    <col min="2" max="2" width="10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</cols>
  <sheetData>
    <row r="1" spans="1:18">
      <c r="B1"/>
      <c r="C1"/>
      <c r="D1"/>
      <c r="E1"/>
    </row>
    <row r="2" spans="1:18">
      <c r="B2"/>
      <c r="C2"/>
      <c r="D2"/>
      <c r="E2"/>
    </row>
    <row r="3" spans="1:18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18">
      <c r="B4" s="3">
        <v>45794</v>
      </c>
    </row>
    <row r="10" spans="1:18" ht="18.899999999999999" thickBot="1"/>
    <row r="11" spans="1:18">
      <c r="F11" s="10"/>
      <c r="G11" s="11"/>
      <c r="H11" s="11"/>
      <c r="I11" s="11"/>
      <c r="J11" s="11"/>
      <c r="K11" s="12"/>
      <c r="M11" s="10"/>
      <c r="N11" s="11"/>
      <c r="O11" s="11"/>
      <c r="P11" s="11"/>
      <c r="Q11" s="11"/>
      <c r="R11" s="12"/>
    </row>
    <row r="12" spans="1:18">
      <c r="F12" s="13"/>
      <c r="K12" s="14"/>
      <c r="M12" s="13"/>
      <c r="R12" s="14"/>
    </row>
    <row r="13" spans="1:18">
      <c r="F13" s="13" t="s">
        <v>14</v>
      </c>
      <c r="K13" s="14"/>
      <c r="M13" s="13" t="s">
        <v>15</v>
      </c>
      <c r="R13" s="14"/>
    </row>
    <row r="14" spans="1:18">
      <c r="F14" s="13" t="s">
        <v>13</v>
      </c>
      <c r="K14" s="14"/>
      <c r="M14" s="13" t="s">
        <v>16</v>
      </c>
      <c r="R14" s="14"/>
    </row>
    <row r="15" spans="1:18">
      <c r="F15" s="13"/>
      <c r="K15" s="14"/>
      <c r="M15" s="13"/>
      <c r="R15" s="14"/>
    </row>
    <row r="16" spans="1:18">
      <c r="F16" s="13" t="s">
        <v>17</v>
      </c>
      <c r="K16" s="14"/>
      <c r="M16" s="13" t="s">
        <v>17</v>
      </c>
      <c r="R16" s="14"/>
    </row>
    <row r="17" spans="6:18">
      <c r="F17" s="13" t="s">
        <v>20</v>
      </c>
      <c r="K17" s="14"/>
      <c r="M17" s="13" t="s">
        <v>18</v>
      </c>
      <c r="R17" s="14"/>
    </row>
    <row r="18" spans="6:18">
      <c r="F18" s="13" t="s">
        <v>21</v>
      </c>
      <c r="K18" s="14"/>
      <c r="M18" s="13" t="s">
        <v>19</v>
      </c>
      <c r="R18" s="14"/>
    </row>
    <row r="19" spans="6:18">
      <c r="F19" s="13" t="s">
        <v>22</v>
      </c>
      <c r="K19" s="14"/>
      <c r="M19" s="13"/>
      <c r="R19" s="14"/>
    </row>
    <row r="20" spans="6:18">
      <c r="F20" s="13" t="s">
        <v>23</v>
      </c>
      <c r="K20" s="14"/>
      <c r="M20" s="13"/>
      <c r="R20" s="14"/>
    </row>
    <row r="21" spans="6:18">
      <c r="F21" s="13"/>
      <c r="K21" s="14"/>
      <c r="M21" s="13"/>
      <c r="R21" s="14"/>
    </row>
    <row r="22" spans="6:18">
      <c r="F22" s="13" t="s">
        <v>25</v>
      </c>
      <c r="K22" s="14"/>
      <c r="M22" s="13"/>
      <c r="R22" s="14"/>
    </row>
    <row r="23" spans="6:18">
      <c r="F23" s="13" t="s">
        <v>26</v>
      </c>
      <c r="K23" s="14"/>
      <c r="M23" s="13"/>
      <c r="R23" s="14"/>
    </row>
    <row r="24" spans="6:18">
      <c r="F24" s="13" t="s">
        <v>27</v>
      </c>
      <c r="K24" s="14"/>
      <c r="M24" s="13"/>
      <c r="R24" s="14"/>
    </row>
    <row r="25" spans="6:18">
      <c r="F25" s="13"/>
      <c r="K25" s="14"/>
      <c r="M25" s="13"/>
      <c r="R25" s="14"/>
    </row>
    <row r="26" spans="6:18" ht="18.899999999999999" thickBot="1">
      <c r="F26" s="15" t="s">
        <v>24</v>
      </c>
      <c r="G26" s="16"/>
      <c r="H26" s="16"/>
      <c r="I26" s="16"/>
      <c r="J26" s="16"/>
      <c r="K26" s="17"/>
      <c r="M26" s="15"/>
      <c r="N26" s="16"/>
      <c r="O26" s="16"/>
      <c r="P26" s="16"/>
      <c r="Q26" s="16"/>
      <c r="R26" s="17"/>
    </row>
    <row r="28" spans="6:18">
      <c r="F28" t="s">
        <v>28</v>
      </c>
    </row>
    <row r="30" spans="6:18">
      <c r="F30">
        <v>1</v>
      </c>
      <c r="G30" t="s">
        <v>29</v>
      </c>
    </row>
    <row r="31" spans="6:18">
      <c r="F31" s="18">
        <v>2</v>
      </c>
      <c r="G31" s="18" t="s">
        <v>30</v>
      </c>
      <c r="H31" s="18"/>
      <c r="I31" s="18"/>
      <c r="J31" s="18"/>
      <c r="K31" s="18"/>
      <c r="L31" s="18"/>
      <c r="M31" s="18"/>
    </row>
    <row r="32" spans="6:18">
      <c r="F32" s="18">
        <v>3</v>
      </c>
      <c r="G32" s="18" t="s">
        <v>33</v>
      </c>
      <c r="H32" s="18"/>
      <c r="I32" s="18"/>
      <c r="J32" s="18"/>
      <c r="K32" s="18"/>
      <c r="L32" s="18"/>
      <c r="M32" s="18"/>
    </row>
    <row r="33" spans="6:13">
      <c r="F33" s="19">
        <v>4</v>
      </c>
      <c r="G33" t="s">
        <v>31</v>
      </c>
    </row>
    <row r="34" spans="6:13">
      <c r="F34" s="18">
        <v>5</v>
      </c>
      <c r="G34" s="18" t="s">
        <v>32</v>
      </c>
      <c r="H34" s="18"/>
      <c r="I34" s="18"/>
      <c r="J34" s="18"/>
      <c r="K34" s="18"/>
      <c r="L34" s="18"/>
      <c r="M34" s="18"/>
    </row>
    <row r="35" spans="6:13">
      <c r="F35" s="19">
        <v>6</v>
      </c>
      <c r="G35" s="19" t="s">
        <v>34</v>
      </c>
    </row>
  </sheetData>
  <phoneticPr fontId="1"/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E8059-D4E5-446F-890E-58278643DD77}">
  <sheetPr codeName="Sheet4"/>
  <dimension ref="A1:G19"/>
  <sheetViews>
    <sheetView showGridLines="0" topLeftCell="A15" zoomScale="85" zoomScaleNormal="85" workbookViewId="0">
      <selection activeCell="E24" sqref="E24"/>
    </sheetView>
  </sheetViews>
  <sheetFormatPr defaultRowHeight="18.45"/>
  <cols>
    <col min="2" max="2" width="10" style="4" bestFit="1" customWidth="1"/>
    <col min="3" max="3" width="9.140625" style="5"/>
    <col min="4" max="4" width="9.140625" style="6"/>
    <col min="5" max="5" width="9.140625" style="5"/>
    <col min="6" max="6" width="12.85546875" bestFit="1" customWidth="1"/>
  </cols>
  <sheetData>
    <row r="1" spans="1:7">
      <c r="B1"/>
      <c r="C1"/>
      <c r="D1"/>
      <c r="E1"/>
    </row>
    <row r="2" spans="1:7">
      <c r="B2"/>
      <c r="C2"/>
      <c r="D2"/>
      <c r="E2"/>
    </row>
    <row r="3" spans="1:7" s="9" customFormat="1">
      <c r="A3" s="1"/>
      <c r="B3" s="2" t="s">
        <v>0</v>
      </c>
      <c r="C3" s="7" t="s">
        <v>2</v>
      </c>
      <c r="D3" s="8"/>
      <c r="E3" s="7" t="s">
        <v>1</v>
      </c>
    </row>
    <row r="4" spans="1:7">
      <c r="B4" s="3">
        <v>45794</v>
      </c>
    </row>
    <row r="5" spans="1:7">
      <c r="E5" s="5">
        <v>1</v>
      </c>
      <c r="F5" t="s">
        <v>3</v>
      </c>
    </row>
    <row r="8" spans="1:7">
      <c r="E8" s="5" t="s">
        <v>4</v>
      </c>
    </row>
    <row r="10" spans="1:7">
      <c r="E10" s="5" t="s">
        <v>5</v>
      </c>
      <c r="F10">
        <v>0.2</v>
      </c>
      <c r="G10" t="s">
        <v>8</v>
      </c>
    </row>
    <row r="11" spans="1:7">
      <c r="E11" s="5" t="s">
        <v>6</v>
      </c>
      <c r="F11">
        <f>1/(2*PI()*50)^2/F10</f>
        <v>5.0660591821168887E-5</v>
      </c>
      <c r="G11" t="s">
        <v>7</v>
      </c>
    </row>
    <row r="12" spans="1:7">
      <c r="F12">
        <f>F11*10^6</f>
        <v>50.660591821168886</v>
      </c>
      <c r="G12" t="s">
        <v>9</v>
      </c>
    </row>
    <row r="18" spans="3:5">
      <c r="C18" s="5" t="s">
        <v>10</v>
      </c>
      <c r="E18" s="5" t="s">
        <v>11</v>
      </c>
    </row>
    <row r="19" spans="3:5">
      <c r="E19" s="5" t="s">
        <v>12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備忘録</vt:lpstr>
      <vt:lpstr>pycode</vt:lpstr>
      <vt:lpstr>main</vt:lpstr>
      <vt:lpstr>netファイル成形</vt:lpstr>
      <vt:lpstr>テンプレ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依田倫太朗</dc:creator>
  <cp:lastModifiedBy>倫太朗 依田</cp:lastModifiedBy>
  <dcterms:created xsi:type="dcterms:W3CDTF">2015-06-05T18:19:34Z</dcterms:created>
  <dcterms:modified xsi:type="dcterms:W3CDTF">2025-05-21T13:34:56Z</dcterms:modified>
</cp:coreProperties>
</file>